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iaszeier/MScProject/MScProject/temp/"/>
    </mc:Choice>
  </mc:AlternateContent>
  <xr:revisionPtr revIDLastSave="0" documentId="8_{63CF26DF-6C08-3743-B4F7-D42D4BA9A76B}" xr6:coauthVersionLast="47" xr6:coauthVersionMax="47" xr10:uidLastSave="{00000000-0000-0000-0000-000000000000}"/>
  <bookViews>
    <workbookView xWindow="6600" yWindow="2360" windowWidth="28060" windowHeight="17200" xr2:uid="{C93A318C-D4A2-B145-9852-9A03A8FAF878}"/>
  </bookViews>
  <sheets>
    <sheet name="SAW" sheetId="1" r:id="rId1"/>
    <sheet name="VIKO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E31" i="2"/>
  <c r="E26" i="2"/>
  <c r="D27" i="2"/>
  <c r="D28" i="2"/>
  <c r="D29" i="2"/>
  <c r="D30" i="2"/>
  <c r="D31" i="2"/>
  <c r="D32" i="2"/>
  <c r="D33" i="2"/>
  <c r="D26" i="2"/>
  <c r="C33" i="2"/>
  <c r="C32" i="2"/>
  <c r="B33" i="2"/>
  <c r="B32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26" i="2" a="1"/>
  <c r="C26" i="2" s="1"/>
  <c r="B26" i="2"/>
  <c r="B27" i="2"/>
  <c r="B28" i="2"/>
  <c r="B29" i="2"/>
  <c r="B30" i="2"/>
  <c r="B31" i="2"/>
  <c r="E16" i="2"/>
  <c r="C16" i="2"/>
  <c r="D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B17" i="2"/>
  <c r="B18" i="2"/>
  <c r="B19" i="2"/>
  <c r="B20" i="2"/>
  <c r="B21" i="2"/>
  <c r="B16" i="2"/>
  <c r="F12" i="2"/>
  <c r="E12" i="2"/>
  <c r="D12" i="2"/>
  <c r="C12" i="2"/>
  <c r="B12" i="2"/>
  <c r="E11" i="2"/>
  <c r="D11" i="2"/>
  <c r="C11" i="2"/>
  <c r="B11" i="2"/>
  <c r="F5" i="1"/>
  <c r="F6" i="1"/>
  <c r="F4" i="1"/>
  <c r="K17" i="1"/>
  <c r="L17" i="1"/>
  <c r="M17" i="1"/>
  <c r="N17" i="1"/>
  <c r="J27" i="1" s="1"/>
  <c r="K18" i="1"/>
  <c r="L18" i="1"/>
  <c r="M18" i="1"/>
  <c r="N18" i="1"/>
  <c r="J28" i="1" s="1"/>
  <c r="K28" i="1" s="1"/>
  <c r="K19" i="1"/>
  <c r="L19" i="1"/>
  <c r="M19" i="1"/>
  <c r="N19" i="1"/>
  <c r="J29" i="1" s="1"/>
  <c r="K20" i="1"/>
  <c r="L20" i="1"/>
  <c r="M20" i="1"/>
  <c r="N20" i="1"/>
  <c r="J30" i="1" s="1"/>
  <c r="K30" i="1" s="1"/>
  <c r="K21" i="1"/>
  <c r="L21" i="1"/>
  <c r="M21" i="1"/>
  <c r="N21" i="1"/>
  <c r="J31" i="1" s="1"/>
  <c r="K31" i="1" s="1"/>
  <c r="K22" i="1"/>
  <c r="L22" i="1"/>
  <c r="M22" i="1"/>
  <c r="N22" i="1"/>
  <c r="J32" i="1" s="1"/>
  <c r="J18" i="1"/>
  <c r="J19" i="1"/>
  <c r="J20" i="1"/>
  <c r="J21" i="1"/>
  <c r="J22" i="1"/>
  <c r="J17" i="1"/>
  <c r="B17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B18" i="1"/>
  <c r="B19" i="1"/>
  <c r="B20" i="1"/>
  <c r="B21" i="1"/>
  <c r="B22" i="1"/>
  <c r="K29" i="1" l="1"/>
  <c r="K32" i="1"/>
  <c r="B29" i="1"/>
  <c r="K27" i="1"/>
  <c r="B31" i="1"/>
  <c r="B30" i="1"/>
  <c r="C30" i="1" s="1"/>
  <c r="B28" i="1"/>
  <c r="B27" i="1"/>
  <c r="C27" i="1" s="1"/>
  <c r="B32" i="1"/>
  <c r="C32" i="1" s="1"/>
  <c r="C31" i="1" l="1"/>
  <c r="C28" i="1"/>
  <c r="C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<sst xmlns="http://schemas.openxmlformats.org/spreadsheetml/2006/main" count="110" uniqueCount="32">
  <si>
    <t>service</t>
  </si>
  <si>
    <t>incident_freq</t>
  </si>
  <si>
    <t>mttr_hrs</t>
  </si>
  <si>
    <t>cfr</t>
  </si>
  <si>
    <t>patch_recency</t>
  </si>
  <si>
    <t>unsupported_months</t>
  </si>
  <si>
    <t>SVC-01</t>
  </si>
  <si>
    <t>SVC-02</t>
  </si>
  <si>
    <t>SVC-03</t>
  </si>
  <si>
    <t>SVC-04</t>
  </si>
  <si>
    <t>SVC-05</t>
  </si>
  <si>
    <t>SVC-06</t>
  </si>
  <si>
    <t>Criteria</t>
  </si>
  <si>
    <t>Attrib</t>
  </si>
  <si>
    <t>cost</t>
  </si>
  <si>
    <t>benefit</t>
  </si>
  <si>
    <t>weight</t>
  </si>
  <si>
    <t>Normalisation</t>
  </si>
  <si>
    <t>Alternative</t>
  </si>
  <si>
    <t>Preference</t>
  </si>
  <si>
    <t>Normalisation Weitendorf</t>
  </si>
  <si>
    <t>Normalisation Linear</t>
  </si>
  <si>
    <t>f-best</t>
  </si>
  <si>
    <t>f-worst</t>
  </si>
  <si>
    <t>Best/Worst</t>
  </si>
  <si>
    <t>S</t>
  </si>
  <si>
    <t>R</t>
  </si>
  <si>
    <t>Q</t>
  </si>
  <si>
    <t>S* / R*</t>
  </si>
  <si>
    <t>S- / R-</t>
  </si>
  <si>
    <t>S / R / Q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</si>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</sst>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C3B0-1C68-964D-9934-BCB35B939C00}">
  <dimension ref="A1:N32"/>
  <sheetViews>
    <sheetView tabSelected="1" workbookViewId="0">
      <selection activeCell="D19" sqref="D19"/>
    </sheetView>
  </sheetViews>
  <sheetFormatPr baseColWidth="10" defaultRowHeight="16" x14ac:dyDescent="0.2"/>
  <cols>
    <col min="1" max="1" width="7.5" bestFit="1" customWidth="1"/>
    <col min="2" max="2" width="11.83203125" bestFit="1" customWidth="1"/>
    <col min="3" max="3" width="8" bestFit="1" customWidth="1"/>
    <col min="4" max="4" width="5.1640625" bestFit="1" customWidth="1"/>
    <col min="5" max="5" width="13.1640625" bestFit="1" customWidth="1"/>
    <col min="6" max="6" width="18.33203125" bestFit="1" customWidth="1"/>
    <col min="13" max="13" width="13.1640625" bestFit="1" customWidth="1"/>
    <col min="14" max="14" width="18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">
      <c r="A2" t="s">
        <v>6</v>
      </c>
      <c r="B2">
        <v>64</v>
      </c>
      <c r="C2">
        <v>45.35</v>
      </c>
      <c r="D2">
        <v>0.83</v>
      </c>
      <c r="E2">
        <v>92.45</v>
      </c>
      <c r="F2">
        <v>44</v>
      </c>
    </row>
    <row r="3" spans="1:14" x14ac:dyDescent="0.2">
      <c r="A3" t="s">
        <v>7</v>
      </c>
      <c r="B3">
        <v>30</v>
      </c>
      <c r="C3">
        <v>25.26</v>
      </c>
      <c r="D3">
        <v>0.19</v>
      </c>
      <c r="E3">
        <v>59.93</v>
      </c>
      <c r="F3">
        <v>1221</v>
      </c>
    </row>
    <row r="4" spans="1:14" x14ac:dyDescent="0.2">
      <c r="A4" t="s">
        <v>8</v>
      </c>
      <c r="B4">
        <v>21</v>
      </c>
      <c r="C4">
        <v>13.31</v>
      </c>
      <c r="D4">
        <v>0.38</v>
      </c>
      <c r="E4">
        <v>100</v>
      </c>
      <c r="F4">
        <f>1*10^-8</f>
        <v>1E-8</v>
      </c>
    </row>
    <row r="5" spans="1:14" x14ac:dyDescent="0.2">
      <c r="A5" t="s">
        <v>9</v>
      </c>
      <c r="B5">
        <v>574</v>
      </c>
      <c r="C5">
        <v>41.91</v>
      </c>
      <c r="D5">
        <v>3.38</v>
      </c>
      <c r="E5">
        <v>100</v>
      </c>
      <c r="F5">
        <f t="shared" ref="F5:F6" si="0">1*10^-8</f>
        <v>1E-8</v>
      </c>
    </row>
    <row r="6" spans="1:14" x14ac:dyDescent="0.2">
      <c r="A6" t="s">
        <v>10</v>
      </c>
      <c r="B6">
        <v>171</v>
      </c>
      <c r="C6">
        <v>23.72</v>
      </c>
      <c r="D6">
        <v>1.52</v>
      </c>
      <c r="E6">
        <v>100</v>
      </c>
      <c r="F6">
        <f t="shared" si="0"/>
        <v>1E-8</v>
      </c>
    </row>
    <row r="7" spans="1:14" x14ac:dyDescent="0.2">
      <c r="A7" t="s">
        <v>11</v>
      </c>
      <c r="B7">
        <v>302</v>
      </c>
      <c r="C7">
        <v>13.11</v>
      </c>
      <c r="D7">
        <v>3.96</v>
      </c>
      <c r="E7">
        <v>56.25</v>
      </c>
      <c r="F7">
        <v>353</v>
      </c>
    </row>
    <row r="9" spans="1:14" x14ac:dyDescent="0.2">
      <c r="A9" t="s">
        <v>12</v>
      </c>
    </row>
    <row r="10" spans="1:14" x14ac:dyDescent="0.2">
      <c r="A10" t="s">
        <v>12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1:14" x14ac:dyDescent="0.2">
      <c r="A11" t="s">
        <v>13</v>
      </c>
      <c r="B11" t="s">
        <v>14</v>
      </c>
      <c r="C11" t="s">
        <v>14</v>
      </c>
      <c r="D11" t="s">
        <v>14</v>
      </c>
      <c r="E11" t="s">
        <v>15</v>
      </c>
      <c r="F11" t="s">
        <v>14</v>
      </c>
    </row>
    <row r="12" spans="1:14" x14ac:dyDescent="0.2">
      <c r="A12" t="s">
        <v>16</v>
      </c>
      <c r="B12">
        <v>0.2</v>
      </c>
      <c r="C12">
        <v>0.2</v>
      </c>
      <c r="D12">
        <v>0.2</v>
      </c>
      <c r="E12">
        <v>0.2</v>
      </c>
      <c r="F12">
        <v>0.2</v>
      </c>
    </row>
    <row r="15" spans="1:14" x14ac:dyDescent="0.2">
      <c r="A15" t="s">
        <v>21</v>
      </c>
      <c r="I15" t="s">
        <v>20</v>
      </c>
    </row>
    <row r="16" spans="1:14" x14ac:dyDescent="0.2">
      <c r="A16" t="s">
        <v>18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I16" t="s">
        <v>18</v>
      </c>
      <c r="J16" t="s">
        <v>1</v>
      </c>
      <c r="K16" t="s">
        <v>2</v>
      </c>
      <c r="L16" t="s">
        <v>3</v>
      </c>
      <c r="M16" t="s">
        <v>4</v>
      </c>
      <c r="N16" t="s">
        <v>5</v>
      </c>
    </row>
    <row r="17" spans="1:14" x14ac:dyDescent="0.2">
      <c r="A17" t="s">
        <v>6</v>
      </c>
      <c r="B17" s="1">
        <f>IF(B$11="benefit",B2/MAX(B$2:B$7),MIN(B$2:B$7)/B2)</f>
        <v>0.328125</v>
      </c>
      <c r="C17" s="1">
        <f t="shared" ref="C17:F17" si="1">IF(C$11="benefit",C2/MAX(C$2:C$7),MIN(C$2:C$7)/C2)</f>
        <v>0.28908489525909592</v>
      </c>
      <c r="D17" s="1">
        <f t="shared" si="1"/>
        <v>0.22891566265060243</v>
      </c>
      <c r="E17" s="1">
        <f t="shared" si="1"/>
        <v>0.92449999999999999</v>
      </c>
      <c r="F17" s="1">
        <f t="shared" si="1"/>
        <v>2.2727272727272728E-10</v>
      </c>
      <c r="I17" t="s">
        <v>6</v>
      </c>
      <c r="J17" s="1">
        <f>IF(B$11="cost", (MAX(B$2:B$8)-B2)/(MAX(B$2:B$8)-MIN(B$2:B$8)), (B2-MIN(B$2:B$8))/(MAX(B$2:B$8)-MIN(B$2:B$8)))</f>
        <v>0.92224231464737794</v>
      </c>
      <c r="K17" s="1">
        <f t="shared" ref="K17:N22" si="2">IF(C$11="cost", (MAX(C$2:C$8)-C2)/(MAX(C$2:C$8)-MIN(C$2:C$8)), (C2-MIN(C$2:C$8))/(MAX(C$2:C$8)-MIN(C$2:C$8)))</f>
        <v>0</v>
      </c>
      <c r="L17" s="1">
        <f t="shared" si="2"/>
        <v>0.83023872679045085</v>
      </c>
      <c r="M17" s="1">
        <f t="shared" si="2"/>
        <v>0.82742857142857151</v>
      </c>
      <c r="N17" s="1">
        <f t="shared" si="2"/>
        <v>0.96396396397185879</v>
      </c>
    </row>
    <row r="18" spans="1:14" x14ac:dyDescent="0.2">
      <c r="A18" t="s">
        <v>7</v>
      </c>
      <c r="B18" s="1">
        <f t="shared" ref="B18:F22" si="3">IF(B$11="benefit",B3/MAX(B$2:B$7),MIN(B$2:B$7)/B3)</f>
        <v>0.7</v>
      </c>
      <c r="C18" s="1">
        <f t="shared" si="3"/>
        <v>0.51900237529691207</v>
      </c>
      <c r="D18" s="1">
        <f t="shared" si="3"/>
        <v>1</v>
      </c>
      <c r="E18" s="1">
        <f t="shared" si="3"/>
        <v>0.59929999999999994</v>
      </c>
      <c r="F18" s="1">
        <f t="shared" si="3"/>
        <v>8.1900081900081909E-12</v>
      </c>
      <c r="I18" t="s">
        <v>7</v>
      </c>
      <c r="J18" s="1">
        <f t="shared" ref="J18:J22" si="4">IF(B$11="cost", (MAX(B$2:B$8)-B3)/(MAX(B$2:B$8)-MIN(B$2:B$8)), (B3-MIN(B$2:B$8))/(MAX(B$2:B$8)-MIN(B$2:B$8)))</f>
        <v>0.98372513562386976</v>
      </c>
      <c r="K18" s="1">
        <f t="shared" si="2"/>
        <v>0.62313895781637718</v>
      </c>
      <c r="L18" s="1">
        <f t="shared" si="2"/>
        <v>1</v>
      </c>
      <c r="M18" s="1">
        <f t="shared" si="2"/>
        <v>8.4114285714285711E-2</v>
      </c>
      <c r="N18" s="1">
        <f t="shared" si="2"/>
        <v>0</v>
      </c>
    </row>
    <row r="19" spans="1:14" x14ac:dyDescent="0.2">
      <c r="A19" t="s">
        <v>8</v>
      </c>
      <c r="B19" s="1">
        <f t="shared" si="3"/>
        <v>1</v>
      </c>
      <c r="C19" s="1">
        <f t="shared" si="3"/>
        <v>0.98497370398196837</v>
      </c>
      <c r="D19" s="1">
        <f t="shared" si="3"/>
        <v>0.5</v>
      </c>
      <c r="E19" s="1">
        <f t="shared" si="3"/>
        <v>1</v>
      </c>
      <c r="F19" s="1">
        <f t="shared" si="3"/>
        <v>1</v>
      </c>
      <c r="I19" t="s">
        <v>8</v>
      </c>
      <c r="J19" s="1">
        <f t="shared" si="4"/>
        <v>1</v>
      </c>
      <c r="K19" s="1">
        <f t="shared" si="2"/>
        <v>0.99379652605459046</v>
      </c>
      <c r="L19" s="1">
        <f t="shared" si="2"/>
        <v>0.9496021220159151</v>
      </c>
      <c r="M19" s="1">
        <f t="shared" si="2"/>
        <v>1</v>
      </c>
      <c r="N19" s="1">
        <f t="shared" si="2"/>
        <v>1</v>
      </c>
    </row>
    <row r="20" spans="1:14" x14ac:dyDescent="0.2">
      <c r="A20" t="s">
        <v>9</v>
      </c>
      <c r="B20" s="1">
        <f t="shared" si="3"/>
        <v>3.6585365853658534E-2</v>
      </c>
      <c r="C20" s="1">
        <f t="shared" si="3"/>
        <v>0.31281317108088763</v>
      </c>
      <c r="D20" s="1">
        <f t="shared" si="3"/>
        <v>5.6213017751479293E-2</v>
      </c>
      <c r="E20" s="1">
        <f t="shared" si="3"/>
        <v>1</v>
      </c>
      <c r="F20" s="1">
        <f t="shared" si="3"/>
        <v>1</v>
      </c>
      <c r="I20" t="s">
        <v>9</v>
      </c>
      <c r="J20" s="1">
        <f t="shared" si="4"/>
        <v>0</v>
      </c>
      <c r="K20" s="1">
        <f t="shared" si="2"/>
        <v>0.10669975186104233</v>
      </c>
      <c r="L20" s="1">
        <f t="shared" si="2"/>
        <v>0.15384615384615385</v>
      </c>
      <c r="M20" s="1">
        <f t="shared" si="2"/>
        <v>1</v>
      </c>
      <c r="N20" s="1">
        <f t="shared" si="2"/>
        <v>1</v>
      </c>
    </row>
    <row r="21" spans="1:14" x14ac:dyDescent="0.2">
      <c r="A21" t="s">
        <v>10</v>
      </c>
      <c r="B21" s="1">
        <f t="shared" si="3"/>
        <v>0.12280701754385964</v>
      </c>
      <c r="C21" s="1">
        <f t="shared" si="3"/>
        <v>0.55269814502529513</v>
      </c>
      <c r="D21" s="1">
        <f t="shared" si="3"/>
        <v>0.125</v>
      </c>
      <c r="E21" s="1">
        <f t="shared" si="3"/>
        <v>1</v>
      </c>
      <c r="F21" s="1">
        <f t="shared" si="3"/>
        <v>1</v>
      </c>
      <c r="I21" t="s">
        <v>10</v>
      </c>
      <c r="J21" s="1">
        <f t="shared" si="4"/>
        <v>0.72875226039783003</v>
      </c>
      <c r="K21" s="1">
        <f t="shared" si="2"/>
        <v>0.67090570719602982</v>
      </c>
      <c r="L21" s="1">
        <f t="shared" si="2"/>
        <v>0.64721485411140578</v>
      </c>
      <c r="M21" s="1">
        <f t="shared" si="2"/>
        <v>1</v>
      </c>
      <c r="N21" s="1">
        <f t="shared" si="2"/>
        <v>1</v>
      </c>
    </row>
    <row r="22" spans="1:14" x14ac:dyDescent="0.2">
      <c r="A22" t="s">
        <v>11</v>
      </c>
      <c r="B22" s="1">
        <f t="shared" si="3"/>
        <v>6.9536423841059597E-2</v>
      </c>
      <c r="C22" s="1">
        <f t="shared" si="3"/>
        <v>1</v>
      </c>
      <c r="D22" s="1">
        <f t="shared" si="3"/>
        <v>4.7979797979797983E-2</v>
      </c>
      <c r="E22" s="1">
        <f t="shared" si="3"/>
        <v>0.5625</v>
      </c>
      <c r="F22" s="1">
        <f t="shared" si="3"/>
        <v>2.8328611898016997E-11</v>
      </c>
      <c r="I22" t="s">
        <v>11</v>
      </c>
      <c r="J22" s="1">
        <f t="shared" si="4"/>
        <v>0.49186256781193488</v>
      </c>
      <c r="K22" s="1">
        <f t="shared" si="2"/>
        <v>1</v>
      </c>
      <c r="L22" s="1">
        <f t="shared" si="2"/>
        <v>0</v>
      </c>
      <c r="M22" s="1">
        <f t="shared" si="2"/>
        <v>0</v>
      </c>
      <c r="N22" s="1">
        <f t="shared" si="2"/>
        <v>0.71089271089853301</v>
      </c>
    </row>
    <row r="25" spans="1:14" x14ac:dyDescent="0.2">
      <c r="A25" t="s">
        <v>19</v>
      </c>
      <c r="I25" t="s">
        <v>19</v>
      </c>
    </row>
    <row r="26" spans="1:14" x14ac:dyDescent="0.2">
      <c r="A26" t="s">
        <v>18</v>
      </c>
      <c r="I26" t="s">
        <v>18</v>
      </c>
    </row>
    <row r="27" spans="1:14" x14ac:dyDescent="0.2">
      <c r="A27" t="s">
        <v>6</v>
      </c>
      <c r="B27">
        <f>SUMPRODUCT($B$12:$F$12,B17:F17)</f>
        <v>0.35412511162739424</v>
      </c>
      <c r="C27">
        <f>_xlfn.RANK.AVG(B27,$B$27:$B$32,1)</f>
        <v>2</v>
      </c>
      <c r="I27" t="s">
        <v>6</v>
      </c>
      <c r="J27">
        <f>SUMPRODUCT($B$12:$F$12,J17:N17)</f>
        <v>0.70877471536765191</v>
      </c>
      <c r="K27">
        <f>_xlfn.RANK.AVG(J27,$J$27:$J$32,1)</f>
        <v>4</v>
      </c>
    </row>
    <row r="28" spans="1:14" x14ac:dyDescent="0.2">
      <c r="A28" t="s">
        <v>7</v>
      </c>
      <c r="B28">
        <f t="shared" ref="B28:B32" si="5">SUMPRODUCT($B$12:$F$12,B18:F18)</f>
        <v>0.56366047506102046</v>
      </c>
      <c r="C28">
        <f t="shared" ref="C28:C32" si="6">_xlfn.RANK.AVG(B28,$B$27:$B$32,1)</f>
        <v>5</v>
      </c>
      <c r="I28" t="s">
        <v>7</v>
      </c>
      <c r="J28">
        <f t="shared" ref="J28:J32" si="7">SUMPRODUCT($B$12:$F$12,J18:N18)</f>
        <v>0.53819567583090655</v>
      </c>
      <c r="K28">
        <f t="shared" ref="K28:K32" si="8">_xlfn.RANK.AVG(J28,$J$27:$J$32,1)</f>
        <v>3</v>
      </c>
    </row>
    <row r="29" spans="1:14" x14ac:dyDescent="0.2">
      <c r="A29" t="s">
        <v>8</v>
      </c>
      <c r="B29">
        <f t="shared" si="5"/>
        <v>0.89699474079639363</v>
      </c>
      <c r="C29">
        <f t="shared" si="6"/>
        <v>6</v>
      </c>
      <c r="I29" t="s">
        <v>8</v>
      </c>
      <c r="J29">
        <f t="shared" si="7"/>
        <v>0.988679729614101</v>
      </c>
      <c r="K29">
        <f t="shared" si="8"/>
        <v>6</v>
      </c>
    </row>
    <row r="30" spans="1:14" x14ac:dyDescent="0.2">
      <c r="A30" t="s">
        <v>9</v>
      </c>
      <c r="B30">
        <f t="shared" si="5"/>
        <v>0.48112231093720509</v>
      </c>
      <c r="C30">
        <f t="shared" si="6"/>
        <v>3</v>
      </c>
      <c r="I30" t="s">
        <v>9</v>
      </c>
      <c r="J30">
        <f t="shared" si="7"/>
        <v>0.45210918114143928</v>
      </c>
      <c r="K30">
        <f t="shared" si="8"/>
        <v>2</v>
      </c>
    </row>
    <row r="31" spans="1:14" x14ac:dyDescent="0.2">
      <c r="A31" t="s">
        <v>10</v>
      </c>
      <c r="B31">
        <f t="shared" si="5"/>
        <v>0.56010103251383092</v>
      </c>
      <c r="C31">
        <f t="shared" si="6"/>
        <v>4</v>
      </c>
      <c r="I31" t="s">
        <v>10</v>
      </c>
      <c r="J31">
        <f t="shared" si="7"/>
        <v>0.80937456434105304</v>
      </c>
      <c r="K31">
        <f t="shared" si="8"/>
        <v>5</v>
      </c>
    </row>
    <row r="32" spans="1:14" x14ac:dyDescent="0.2">
      <c r="A32" t="s">
        <v>11</v>
      </c>
      <c r="B32">
        <f t="shared" si="5"/>
        <v>0.33600324436983731</v>
      </c>
      <c r="C32">
        <f t="shared" si="6"/>
        <v>1</v>
      </c>
      <c r="I32" t="s">
        <v>11</v>
      </c>
      <c r="J32">
        <f t="shared" si="7"/>
        <v>0.44055105574209358</v>
      </c>
      <c r="K32">
        <f t="shared" si="8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6200-E84B-3F44-A32A-EEB46D308746}">
  <dimension ref="A1:F33"/>
  <sheetViews>
    <sheetView workbookViewId="0">
      <selection activeCell="E4" sqref="E4:E5"/>
    </sheetView>
  </sheetViews>
  <sheetFormatPr baseColWidth="10" defaultRowHeight="16" x14ac:dyDescent="0.2"/>
  <cols>
    <col min="1" max="1" width="12.6640625" bestFit="1" customWidth="1"/>
    <col min="2" max="2" width="11.83203125" bestFit="1" customWidth="1"/>
    <col min="3" max="3" width="8" bestFit="1" customWidth="1"/>
    <col min="4" max="4" width="7.5" customWidth="1"/>
    <col min="5" max="5" width="13.1640625" bestFit="1" customWidth="1"/>
    <col min="6" max="6" width="18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64</v>
      </c>
      <c r="C2">
        <v>45.35</v>
      </c>
      <c r="D2">
        <v>0.83</v>
      </c>
      <c r="E2">
        <v>92.45</v>
      </c>
      <c r="F2">
        <v>44</v>
      </c>
    </row>
    <row r="3" spans="1:6" x14ac:dyDescent="0.2">
      <c r="A3" t="s">
        <v>7</v>
      </c>
      <c r="B3">
        <v>30</v>
      </c>
      <c r="C3">
        <v>25.26</v>
      </c>
      <c r="D3">
        <v>0.19</v>
      </c>
      <c r="E3">
        <v>59.93</v>
      </c>
      <c r="F3">
        <v>1221</v>
      </c>
    </row>
    <row r="4" spans="1:6" x14ac:dyDescent="0.2">
      <c r="A4" t="s">
        <v>8</v>
      </c>
      <c r="B4">
        <v>21</v>
      </c>
      <c r="C4">
        <v>13.31</v>
      </c>
      <c r="D4">
        <v>0.38</v>
      </c>
      <c r="E4">
        <v>100</v>
      </c>
      <c r="F4">
        <v>0</v>
      </c>
    </row>
    <row r="5" spans="1:6" x14ac:dyDescent="0.2">
      <c r="A5" t="s">
        <v>9</v>
      </c>
      <c r="B5">
        <v>574</v>
      </c>
      <c r="C5">
        <v>41.91</v>
      </c>
      <c r="D5">
        <v>3.38</v>
      </c>
      <c r="E5">
        <v>100</v>
      </c>
      <c r="F5">
        <v>0</v>
      </c>
    </row>
    <row r="6" spans="1:6" x14ac:dyDescent="0.2">
      <c r="A6" t="s">
        <v>10</v>
      </c>
      <c r="B6">
        <v>171</v>
      </c>
      <c r="C6">
        <v>23.72</v>
      </c>
      <c r="D6">
        <v>1.52</v>
      </c>
      <c r="E6">
        <v>100</v>
      </c>
      <c r="F6">
        <v>0</v>
      </c>
    </row>
    <row r="7" spans="1:6" x14ac:dyDescent="0.2">
      <c r="A7" t="s">
        <v>11</v>
      </c>
      <c r="B7">
        <v>302</v>
      </c>
      <c r="C7">
        <v>13.11</v>
      </c>
      <c r="D7">
        <v>3.96</v>
      </c>
      <c r="E7">
        <v>56.25</v>
      </c>
      <c r="F7">
        <v>353</v>
      </c>
    </row>
    <row r="10" spans="1:6" x14ac:dyDescent="0.2">
      <c r="A10" t="s">
        <v>24</v>
      </c>
    </row>
    <row r="11" spans="1:6" x14ac:dyDescent="0.2">
      <c r="A11" t="s">
        <v>22</v>
      </c>
      <c r="B11">
        <f>MIN(B2:B7)</f>
        <v>21</v>
      </c>
      <c r="C11">
        <f>MIN(C2:C7)</f>
        <v>13.11</v>
      </c>
      <c r="D11">
        <f>MIN(D2:D7)</f>
        <v>0.19</v>
      </c>
      <c r="E11">
        <f>MAX(E2:E7)</f>
        <v>100</v>
      </c>
      <c r="F11">
        <v>0</v>
      </c>
    </row>
    <row r="12" spans="1:6" x14ac:dyDescent="0.2">
      <c r="A12" t="s">
        <v>23</v>
      </c>
      <c r="B12">
        <f>MAX(B2:B11)</f>
        <v>574</v>
      </c>
      <c r="C12">
        <f>MAX(C2:C11)</f>
        <v>45.35</v>
      </c>
      <c r="D12">
        <f>MAX(D2:D11)</f>
        <v>3.96</v>
      </c>
      <c r="E12">
        <f>MIN(E2:E11)</f>
        <v>56.25</v>
      </c>
      <c r="F12">
        <f>MAX(F2:F11)</f>
        <v>1221</v>
      </c>
    </row>
    <row r="14" spans="1:6" x14ac:dyDescent="0.2">
      <c r="A14" t="s">
        <v>17</v>
      </c>
    </row>
    <row r="15" spans="1:6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1:6" x14ac:dyDescent="0.2">
      <c r="A16" t="s">
        <v>6</v>
      </c>
      <c r="B16">
        <f>(B$11 - B2) / (B$11 - B$12)</f>
        <v>7.7757685352622063E-2</v>
      </c>
      <c r="C16">
        <f t="shared" ref="C16:F16" si="0">(C$11 - C2) / (C$11 - C$12)</f>
        <v>1</v>
      </c>
      <c r="D16">
        <f t="shared" si="0"/>
        <v>0.16976127320954904</v>
      </c>
      <c r="E16">
        <f>(E$11 - E2) / (E$11 - E$12)</f>
        <v>0.17257142857142851</v>
      </c>
      <c r="F16">
        <f t="shared" si="0"/>
        <v>3.6036036036036036E-2</v>
      </c>
    </row>
    <row r="17" spans="1:6" x14ac:dyDescent="0.2">
      <c r="A17" t="s">
        <v>7</v>
      </c>
      <c r="B17">
        <f t="shared" ref="B17:F21" si="1">(B$11 - B3) / (B$11 - B$12)</f>
        <v>1.62748643761302E-2</v>
      </c>
      <c r="C17">
        <f t="shared" si="1"/>
        <v>0.37686104218362287</v>
      </c>
      <c r="D17">
        <f t="shared" si="1"/>
        <v>0</v>
      </c>
      <c r="E17">
        <f t="shared" si="1"/>
        <v>0.9158857142857143</v>
      </c>
      <c r="F17">
        <f t="shared" si="1"/>
        <v>1</v>
      </c>
    </row>
    <row r="18" spans="1:6" x14ac:dyDescent="0.2">
      <c r="A18" t="s">
        <v>8</v>
      </c>
      <c r="B18">
        <f t="shared" si="1"/>
        <v>0</v>
      </c>
      <c r="C18">
        <f t="shared" si="1"/>
        <v>6.2034739454094618E-3</v>
      </c>
      <c r="D18">
        <f t="shared" si="1"/>
        <v>5.0397877984084884E-2</v>
      </c>
      <c r="E18">
        <f t="shared" si="1"/>
        <v>0</v>
      </c>
      <c r="F18">
        <f t="shared" si="1"/>
        <v>0</v>
      </c>
    </row>
    <row r="19" spans="1:6" x14ac:dyDescent="0.2">
      <c r="A19" t="s">
        <v>9</v>
      </c>
      <c r="B19">
        <f t="shared" si="1"/>
        <v>1</v>
      </c>
      <c r="C19">
        <f t="shared" si="1"/>
        <v>0.8933002481389577</v>
      </c>
      <c r="D19">
        <f t="shared" si="1"/>
        <v>0.84615384615384615</v>
      </c>
      <c r="E19">
        <f t="shared" si="1"/>
        <v>0</v>
      </c>
      <c r="F19">
        <f t="shared" si="1"/>
        <v>0</v>
      </c>
    </row>
    <row r="20" spans="1:6" x14ac:dyDescent="0.2">
      <c r="A20" t="s">
        <v>10</v>
      </c>
      <c r="B20">
        <f t="shared" si="1"/>
        <v>0.27124773960216997</v>
      </c>
      <c r="C20">
        <f t="shared" si="1"/>
        <v>0.32909429280397018</v>
      </c>
      <c r="D20">
        <f t="shared" si="1"/>
        <v>0.35278514588859416</v>
      </c>
      <c r="E20">
        <f t="shared" si="1"/>
        <v>0</v>
      </c>
      <c r="F20">
        <f t="shared" si="1"/>
        <v>0</v>
      </c>
    </row>
    <row r="21" spans="1:6" x14ac:dyDescent="0.2">
      <c r="A21" t="s">
        <v>11</v>
      </c>
      <c r="B21">
        <f t="shared" si="1"/>
        <v>0.50813743218806506</v>
      </c>
      <c r="C21">
        <f t="shared" si="1"/>
        <v>0</v>
      </c>
      <c r="D21">
        <f t="shared" si="1"/>
        <v>1</v>
      </c>
      <c r="E21">
        <f t="shared" si="1"/>
        <v>1</v>
      </c>
      <c r="F21">
        <f t="shared" si="1"/>
        <v>0.28910728910728911</v>
      </c>
    </row>
    <row r="24" spans="1:6" x14ac:dyDescent="0.2">
      <c r="A24" t="s">
        <v>30</v>
      </c>
    </row>
    <row r="25" spans="1:6" x14ac:dyDescent="0.2">
      <c r="A25" t="s">
        <v>0</v>
      </c>
      <c r="B25" t="s">
        <v>25</v>
      </c>
      <c r="C25" t="s">
        <v>26</v>
      </c>
      <c r="D25" t="s">
        <v>27</v>
      </c>
      <c r="E25" t="s">
        <v>31</v>
      </c>
    </row>
    <row r="26" spans="1:6" x14ac:dyDescent="0.2">
      <c r="A26" t="s">
        <v>6</v>
      </c>
      <c r="B26">
        <f>SUMPRODUCT(B16:F16, {0.2,0.2,0.2,0.2,0.2})</f>
        <v>0.29122528463392716</v>
      </c>
      <c r="C26" cm="1">
        <f t="array" ref="C26">MAX(B16:F16 * {0.2,0.2,0.2,0.2,0.2})</f>
        <v>0.2</v>
      </c>
      <c r="D26">
        <f>0.5 * (B26 - $B$32) / ($B$33 - $B$32) + 0.5 * (C26 - $C$32) / ($C$33 - $C$32)</f>
        <v>0.75532783412895643</v>
      </c>
      <c r="E26">
        <f>_xlfn.RANK.AVG(D26,$D$26:$D$31,1)</f>
        <v>3</v>
      </c>
    </row>
    <row r="27" spans="1:6" x14ac:dyDescent="0.2">
      <c r="A27" t="s">
        <v>7</v>
      </c>
      <c r="B27">
        <f>SUMPRODUCT(B17:F17, {0.2,0.2,0.2,0.2,0.2})</f>
        <v>0.46180432416909351</v>
      </c>
      <c r="C27" cm="1">
        <f t="array" ref="C27">MAX(B17:F17 * {0.2,0.2,0.2,0.2,0.2})</f>
        <v>0.2</v>
      </c>
      <c r="D27">
        <f t="shared" ref="D27:D33" si="2">0.5 * (B27 - $B$32) / ($B$33 - $B$32) + 0.5 * (C27 - $C$32) / ($C$33 - $C$32)</f>
        <v>0.91092910775858194</v>
      </c>
      <c r="E27">
        <f t="shared" ref="E27:E31" si="3">_xlfn.RANK.AVG(D27,$D$26:$D$31,1)</f>
        <v>4</v>
      </c>
    </row>
    <row r="28" spans="1:6" x14ac:dyDescent="0.2">
      <c r="A28" t="s">
        <v>8</v>
      </c>
      <c r="B28">
        <f>SUMPRODUCT(B18:F18, {0.2,0.2,0.2,0.2,0.2})</f>
        <v>1.132027038589887E-2</v>
      </c>
      <c r="C28" cm="1">
        <f t="array" ref="C28">MAX(B18:F18 * {0.2,0.2,0.2,0.2,0.2})</f>
        <v>1.0079575596816978E-2</v>
      </c>
      <c r="D28">
        <f t="shared" si="2"/>
        <v>0</v>
      </c>
      <c r="E28">
        <f t="shared" si="3"/>
        <v>1</v>
      </c>
    </row>
    <row r="29" spans="1:6" x14ac:dyDescent="0.2">
      <c r="A29" t="s">
        <v>9</v>
      </c>
      <c r="B29">
        <f>SUMPRODUCT(B19:F19, {0.2,0.2,0.2,0.2,0.2})</f>
        <v>0.54789081885856072</v>
      </c>
      <c r="C29" cm="1">
        <f t="array" ref="C29">MAX(B19:F19 * {0.2,0.2,0.2,0.2,0.2})</f>
        <v>0.2</v>
      </c>
      <c r="D29">
        <f t="shared" si="2"/>
        <v>0.98945674076960932</v>
      </c>
      <c r="E29">
        <f t="shared" si="3"/>
        <v>5</v>
      </c>
    </row>
    <row r="30" spans="1:6" x14ac:dyDescent="0.2">
      <c r="A30" t="s">
        <v>10</v>
      </c>
      <c r="B30">
        <f>SUMPRODUCT(B20:F20, {0.2,0.2,0.2,0.2,0.2})</f>
        <v>0.19062543565894688</v>
      </c>
      <c r="C30" cm="1">
        <f t="array" ref="C30">MAX(B20:F20 * {0.2,0.2,0.2,0.2,0.2})</f>
        <v>7.0557029177718833E-2</v>
      </c>
      <c r="D30">
        <f t="shared" si="2"/>
        <v>0.32277907524033334</v>
      </c>
      <c r="E30">
        <f t="shared" si="3"/>
        <v>2</v>
      </c>
    </row>
    <row r="31" spans="1:6" x14ac:dyDescent="0.2">
      <c r="A31" t="s">
        <v>11</v>
      </c>
      <c r="B31">
        <f>SUMPRODUCT(B21:F21, {0.2,0.2,0.2,0.2,0.2})</f>
        <v>0.55944894425907099</v>
      </c>
      <c r="C31" cm="1">
        <f t="array" ref="C31">MAX(B21:F21 * {0.2,0.2,0.2,0.2,0.2})</f>
        <v>0.2</v>
      </c>
      <c r="D31">
        <f t="shared" si="2"/>
        <v>1</v>
      </c>
      <c r="E31">
        <f t="shared" si="3"/>
        <v>6</v>
      </c>
    </row>
    <row r="32" spans="1:6" x14ac:dyDescent="0.2">
      <c r="A32" s="2" t="s">
        <v>28</v>
      </c>
      <c r="B32">
        <f>MIN(B26:B31)</f>
        <v>1.132027038589887E-2</v>
      </c>
      <c r="C32">
        <f>MIN(C26:C31)</f>
        <v>1.0079575596816978E-2</v>
      </c>
      <c r="D32">
        <f t="shared" si="2"/>
        <v>0</v>
      </c>
    </row>
    <row r="33" spans="1:4" x14ac:dyDescent="0.2">
      <c r="A33" s="2" t="s">
        <v>29</v>
      </c>
      <c r="B33">
        <f>MAX(B26:B31)</f>
        <v>0.55944894425907099</v>
      </c>
      <c r="C33">
        <f>MAX(C26:C32)</f>
        <v>0.2</v>
      </c>
      <c r="D33">
        <f t="shared" si="2"/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SAW</vt:lpstr>
      <vt:lpstr>VIKOR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Zeier</dc:creator>
  <cp:lastModifiedBy>Tobi Zeier</cp:lastModifiedBy>
  <dcterms:created xsi:type="dcterms:W3CDTF">2026-06-19T07:26:25Z</dcterms:created>
  <dcterms:modified xsi:type="dcterms:W3CDTF">2026-06-19T16:50:09Z</dcterms:modified>
</cp:coreProperties>
</file>